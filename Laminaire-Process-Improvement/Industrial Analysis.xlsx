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Lopera/Documents/GitHub/Laminaire-Process-Improvement/"/>
    </mc:Choice>
  </mc:AlternateContent>
  <xr:revisionPtr revIDLastSave="0" documentId="8_{9362AA95-263C-664C-8CF5-056494118F42}" xr6:coauthVersionLast="47" xr6:coauthVersionMax="47" xr10:uidLastSave="{00000000-0000-0000-0000-000000000000}"/>
  <bookViews>
    <workbookView xWindow="0" yWindow="660" windowWidth="34560" windowHeight="21680" xr2:uid="{1AC1C3BF-CFF0-9840-BAB1-A1705912DAD5}"/>
  </bookViews>
  <sheets>
    <sheet name="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I26" i="1" s="1"/>
  <c r="J26" i="1" s="1"/>
  <c r="H25" i="1"/>
  <c r="I25" i="1" s="1"/>
  <c r="J25" i="1" s="1"/>
  <c r="G25" i="1"/>
  <c r="G24" i="1"/>
  <c r="I24" i="1" s="1"/>
  <c r="J24" i="1" s="1"/>
  <c r="H23" i="1"/>
  <c r="I23" i="1" s="1"/>
  <c r="J23" i="1" s="1"/>
  <c r="G23" i="1"/>
  <c r="H22" i="1"/>
  <c r="I22" i="1" s="1"/>
  <c r="J22" i="1" s="1"/>
  <c r="G22" i="1"/>
  <c r="H21" i="1"/>
  <c r="I21" i="1" s="1"/>
  <c r="J21" i="1" s="1"/>
  <c r="G21" i="1"/>
  <c r="H20" i="1"/>
  <c r="I20" i="1" s="1"/>
  <c r="J20" i="1" s="1"/>
  <c r="G20" i="1"/>
  <c r="H19" i="1"/>
  <c r="I19" i="1" s="1"/>
  <c r="J19" i="1" s="1"/>
  <c r="G19" i="1"/>
  <c r="H18" i="1"/>
  <c r="I18" i="1" s="1"/>
  <c r="J18" i="1" s="1"/>
  <c r="G18" i="1"/>
  <c r="H17" i="1"/>
  <c r="I17" i="1" s="1"/>
  <c r="J17" i="1" s="1"/>
  <c r="G17" i="1"/>
  <c r="H16" i="1"/>
  <c r="O12" i="1" s="1"/>
  <c r="G16" i="1"/>
  <c r="I15" i="1"/>
  <c r="J15" i="1" s="1"/>
  <c r="H15" i="1"/>
  <c r="G15" i="1"/>
  <c r="H14" i="1"/>
  <c r="I14" i="1" s="1"/>
  <c r="J14" i="1" s="1"/>
  <c r="G14" i="1"/>
  <c r="G13" i="1"/>
  <c r="I13" i="1" s="1"/>
  <c r="J13" i="1" s="1"/>
  <c r="G12" i="1"/>
  <c r="I12" i="1" s="1"/>
  <c r="J12" i="1" s="1"/>
  <c r="G11" i="1"/>
  <c r="I11" i="1" s="1"/>
  <c r="J11" i="1" s="1"/>
  <c r="H10" i="1"/>
  <c r="I10" i="1" s="1"/>
  <c r="G10" i="1"/>
  <c r="J10" i="1" l="1"/>
  <c r="I16" i="1"/>
  <c r="J16" i="1" s="1"/>
  <c r="H8" i="1"/>
  <c r="O10" i="1"/>
  <c r="O11" i="1" l="1"/>
  <c r="G8" i="1"/>
  <c r="I8" i="1"/>
  <c r="J8" i="1"/>
  <c r="K10" i="1" s="1"/>
  <c r="I5" i="1" l="1"/>
  <c r="I4" i="1"/>
  <c r="I3" i="1"/>
  <c r="K12" i="1"/>
  <c r="K13" i="1"/>
  <c r="K14" i="1"/>
  <c r="K18" i="1"/>
  <c r="K15" i="1"/>
  <c r="K26" i="1"/>
  <c r="K25" i="1"/>
  <c r="K11" i="1"/>
  <c r="K8" i="1" s="1"/>
  <c r="K19" i="1"/>
  <c r="K21" i="1"/>
  <c r="K23" i="1"/>
  <c r="K24" i="1"/>
  <c r="K17" i="1"/>
  <c r="K20" i="1"/>
  <c r="K22" i="1"/>
  <c r="K16" i="1"/>
  <c r="O13" i="1"/>
  <c r="Q12" i="1" l="1"/>
  <c r="Q10" i="1"/>
  <c r="Q11" i="1"/>
  <c r="Q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" authorId="0" shapeId="0" xr:uid="{E25DA7B4-BB90-B948-96AA-2F70A0BABDCB}">
      <text>
        <r>
          <rPr>
            <sz val="9"/>
            <color indexed="81"/>
            <rFont val="Tahoma"/>
            <family val="2"/>
          </rPr>
          <t xml:space="preserve">Numero de operaciones
</t>
        </r>
      </text>
    </comment>
    <comment ref="H3" authorId="0" shapeId="0" xr:uid="{DA12C33D-CA5D-4141-94C1-D460DFE4BA00}">
      <text>
        <r>
          <rPr>
            <b/>
            <sz val="9"/>
            <color indexed="81"/>
            <rFont val="Tahoma"/>
            <family val="2"/>
          </rPr>
          <t>Tiempo en segundos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" authorId="0" shapeId="0" xr:uid="{4685A343-A4FD-4549-BA48-7331EB069C12}">
      <text>
        <r>
          <rPr>
            <b/>
            <sz val="9"/>
            <color indexed="81"/>
            <rFont val="Tahoma"/>
            <family val="2"/>
          </rPr>
          <t>% de participacion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<sst xmlns="http://schemas.openxmlformats.org/spreadsheetml/2006/main" count="34" uniqueCount="34">
  <si>
    <t>Producto:  L-C Diametro de 14"</t>
  </si>
  <si>
    <t>Sección de producción: Productos en Lamina</t>
  </si>
  <si>
    <t>Lote Und</t>
  </si>
  <si>
    <t>Numero de operarios:  1</t>
  </si>
  <si>
    <t>Item</t>
  </si>
  <si>
    <t>Operation</t>
  </si>
  <si>
    <t>Symbol</t>
  </si>
  <si>
    <t>Video</t>
  </si>
  <si>
    <t>Lot size</t>
  </si>
  <si>
    <t>Lot Time min</t>
  </si>
  <si>
    <t>Unit Time min</t>
  </si>
  <si>
    <t>Unit Time sec</t>
  </si>
  <si>
    <t>% particip.</t>
  </si>
  <si>
    <t>Observations</t>
  </si>
  <si>
    <t>Prepare Plasma Cutting Machine</t>
  </si>
  <si>
    <t>Tiempos de montaje</t>
  </si>
  <si>
    <t>Plasma Cut Collar Blanks</t>
  </si>
  <si>
    <t>Tiempos de operación</t>
  </si>
  <si>
    <t>Install Collar Forming Die</t>
  </si>
  <si>
    <t>Tiempos de transporte</t>
  </si>
  <si>
    <t>Form Collar on Power Press</t>
  </si>
  <si>
    <t>Remove Collar Forming Die</t>
  </si>
  <si>
    <t>Install Seaming Die</t>
  </si>
  <si>
    <t>Transport Material to Power Press</t>
  </si>
  <si>
    <t>Perform Seaming Operation</t>
  </si>
  <si>
    <t>Position Perforation Stop</t>
  </si>
  <si>
    <t>Transport Material to Pneumatic Press</t>
  </si>
  <si>
    <t>Perform Pneumatic Punching</t>
  </si>
  <si>
    <t>Transport Material to Rolling Machine</t>
  </si>
  <si>
    <t>Roll Material</t>
  </si>
  <si>
    <t>Form Cylinder (Rolling Operation)</t>
  </si>
  <si>
    <t>Disassemble Collar Assembly</t>
  </si>
  <si>
    <t>Apply Barcode Label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</si>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</sst>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164" fontId="2" fillId="2" borderId="5" xfId="1" applyNumberFormat="1" applyFont="1" applyFill="1" applyBorder="1"/>
    <xf numFmtId="0" fontId="0" fillId="3" borderId="5" xfId="0" applyFill="1" applyBorder="1" applyAlignment="1">
      <alignment horizontal="center"/>
    </xf>
    <xf numFmtId="0" fontId="0" fillId="2" borderId="6" xfId="0" applyFill="1" applyBorder="1"/>
    <xf numFmtId="0" fontId="2" fillId="2" borderId="5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165" fontId="3" fillId="0" borderId="0" xfId="0" applyNumberFormat="1" applyFont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9" fontId="2" fillId="4" borderId="5" xfId="1" applyFont="1" applyFill="1" applyBorder="1" applyAlignment="1">
      <alignment horizontal="center"/>
    </xf>
    <xf numFmtId="2" fontId="0" fillId="0" borderId="0" xfId="0" applyNumberFormat="1"/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3" borderId="10" xfId="0" applyFill="1" applyBorder="1"/>
    <xf numFmtId="166" fontId="0" fillId="6" borderId="1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164" fontId="4" fillId="7" borderId="5" xfId="1" applyNumberFormat="1" applyFont="1" applyFill="1" applyBorder="1" applyAlignment="1">
      <alignment horizontal="center" vertical="center"/>
    </xf>
    <xf numFmtId="0" fontId="0" fillId="8" borderId="10" xfId="0" applyFill="1" applyBorder="1"/>
    <xf numFmtId="2" fontId="2" fillId="3" borderId="5" xfId="0" applyNumberFormat="1" applyFont="1" applyFill="1" applyBorder="1" applyAlignment="1">
      <alignment horizontal="center" vertical="center"/>
    </xf>
    <xf numFmtId="164" fontId="2" fillId="3" borderId="5" xfId="1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2" fontId="2" fillId="9" borderId="5" xfId="0" applyNumberFormat="1" applyFont="1" applyFill="1" applyBorder="1" applyAlignment="1">
      <alignment horizontal="center" vertical="center"/>
    </xf>
    <xf numFmtId="9" fontId="2" fillId="9" borderId="5" xfId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left" vertical="center" wrapText="1"/>
    </xf>
    <xf numFmtId="0" fontId="0" fillId="4" borderId="10" xfId="0" applyFill="1" applyBorder="1"/>
    <xf numFmtId="0" fontId="0" fillId="0" borderId="4" xfId="0" applyBorder="1"/>
    <xf numFmtId="166" fontId="0" fillId="0" borderId="6" xfId="0" applyNumberFormat="1" applyBorder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0" fillId="0" borderId="7" xfId="0" applyBorder="1"/>
    <xf numFmtId="166" fontId="0" fillId="0" borderId="9" xfId="0" applyNumberFormat="1" applyBorder="1" applyAlignment="1">
      <alignment horizontal="center" vertical="center"/>
    </xf>
    <xf numFmtId="0" fontId="0" fillId="0" borderId="13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06%20montar%20troquel.mp4" TargetMode="External"/><Relationship Id="rId13" Type="http://schemas.openxmlformats.org/officeDocument/2006/relationships/hyperlink" Target="11%20perforacion%20troq.mp4" TargetMode="External"/><Relationship Id="rId18" Type="http://schemas.openxmlformats.org/officeDocument/2006/relationships/hyperlink" Target="16%20pegar%20etiquetas.mp4" TargetMode="External"/><Relationship Id="rId3" Type="http://schemas.openxmlformats.org/officeDocument/2006/relationships/image" Target="../media/image2.png"/><Relationship Id="rId7" Type="http://schemas.openxmlformats.org/officeDocument/2006/relationships/hyperlink" Target="05%20Desmontar%20troquel.mp4" TargetMode="External"/><Relationship Id="rId12" Type="http://schemas.openxmlformats.org/officeDocument/2006/relationships/hyperlink" Target="10%20transporte%20material.mp4" TargetMode="External"/><Relationship Id="rId17" Type="http://schemas.openxmlformats.org/officeDocument/2006/relationships/hyperlink" Target="15%20desensamble%20de%20cuellos.mp4" TargetMode="External"/><Relationship Id="rId2" Type="http://schemas.openxmlformats.org/officeDocument/2006/relationships/hyperlink" Target="01%20Montaje%20Maq.%20Plasma.mp4" TargetMode="External"/><Relationship Id="rId16" Type="http://schemas.openxmlformats.org/officeDocument/2006/relationships/hyperlink" Target="14%20conformado.mp4" TargetMode="External"/><Relationship Id="rId1" Type="http://schemas.openxmlformats.org/officeDocument/2006/relationships/image" Target="../media/image1.emf"/><Relationship Id="rId6" Type="http://schemas.openxmlformats.org/officeDocument/2006/relationships/hyperlink" Target="04%20Colillado.mp4" TargetMode="External"/><Relationship Id="rId11" Type="http://schemas.openxmlformats.org/officeDocument/2006/relationships/hyperlink" Target="09%20coger%20tope.mp4" TargetMode="External"/><Relationship Id="rId5" Type="http://schemas.openxmlformats.org/officeDocument/2006/relationships/hyperlink" Target="03%20Montaje%20troquel.mp4" TargetMode="External"/><Relationship Id="rId15" Type="http://schemas.openxmlformats.org/officeDocument/2006/relationships/hyperlink" Target="13%20Rolado.mp4" TargetMode="External"/><Relationship Id="rId10" Type="http://schemas.openxmlformats.org/officeDocument/2006/relationships/hyperlink" Target="08%20grafado%20en%20troqueladora.mp4" TargetMode="External"/><Relationship Id="rId4" Type="http://schemas.openxmlformats.org/officeDocument/2006/relationships/hyperlink" Target="02%20Corte%20en%20plasma.mp4" TargetMode="External"/><Relationship Id="rId9" Type="http://schemas.openxmlformats.org/officeDocument/2006/relationships/hyperlink" Target="07%20transporte%20de%20material.mp4" TargetMode="External"/><Relationship Id="rId14" Type="http://schemas.openxmlformats.org/officeDocument/2006/relationships/hyperlink" Target="12%20transporte.mp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9</xdr:row>
      <xdr:rowOff>114300</xdr:rowOff>
    </xdr:from>
    <xdr:to>
      <xdr:col>4</xdr:col>
      <xdr:colOff>361950</xdr:colOff>
      <xdr:row>9</xdr:row>
      <xdr:rowOff>304800</xdr:rowOff>
    </xdr:to>
    <xdr:sp macro="" textlink="">
      <xdr:nvSpPr>
        <xdr:cNvPr id="2" name="Oval 8">
          <a:extLst>
            <a:ext uri="{FF2B5EF4-FFF2-40B4-BE49-F238E27FC236}">
              <a16:creationId xmlns:a16="http://schemas.microsoft.com/office/drawing/2014/main" id="{4C0FBBCD-5154-9941-994C-450B2D55AAA7}"/>
            </a:ext>
          </a:extLst>
        </xdr:cNvPr>
        <xdr:cNvSpPr>
          <a:spLocks noChangeArrowheads="1"/>
        </xdr:cNvSpPr>
      </xdr:nvSpPr>
      <xdr:spPr bwMode="auto">
        <a:xfrm>
          <a:off x="3117850" y="18542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25</xdr:row>
      <xdr:rowOff>123825</xdr:rowOff>
    </xdr:from>
    <xdr:to>
      <xdr:col>4</xdr:col>
      <xdr:colOff>400052</xdr:colOff>
      <xdr:row>25</xdr:row>
      <xdr:rowOff>295274</xdr:rowOff>
    </xdr:to>
    <xdr:sp macro="" textlink="">
      <xdr:nvSpPr>
        <xdr:cNvPr id="3" name="37 Triángulo isósceles">
          <a:extLst>
            <a:ext uri="{FF2B5EF4-FFF2-40B4-BE49-F238E27FC236}">
              <a16:creationId xmlns:a16="http://schemas.microsoft.com/office/drawing/2014/main" id="{43EF7AB8-140A-DD4A-9894-8EDC0BF2E21F}"/>
            </a:ext>
          </a:extLst>
        </xdr:cNvPr>
        <xdr:cNvSpPr/>
      </xdr:nvSpPr>
      <xdr:spPr>
        <a:xfrm rot="10800000">
          <a:off x="3108325" y="8569325"/>
          <a:ext cx="238127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ES"/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3</xdr:col>
      <xdr:colOff>1495425</xdr:colOff>
      <xdr:row>8</xdr:row>
      <xdr:rowOff>28575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878ECFAB-FD47-B64D-A33A-7FDBC6171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965200"/>
          <a:ext cx="2079625" cy="4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171450</xdr:colOff>
      <xdr:row>10</xdr:row>
      <xdr:rowOff>114300</xdr:rowOff>
    </xdr:from>
    <xdr:to>
      <xdr:col>4</xdr:col>
      <xdr:colOff>361950</xdr:colOff>
      <xdr:row>10</xdr:row>
      <xdr:rowOff>304800</xdr:rowOff>
    </xdr:to>
    <xdr:sp macro="" textlink="">
      <xdr:nvSpPr>
        <xdr:cNvPr id="5" name="Oval 8">
          <a:extLst>
            <a:ext uri="{FF2B5EF4-FFF2-40B4-BE49-F238E27FC236}">
              <a16:creationId xmlns:a16="http://schemas.microsoft.com/office/drawing/2014/main" id="{8CBCCF70-AFEB-0040-A0B0-139D134674D1}"/>
            </a:ext>
          </a:extLst>
        </xdr:cNvPr>
        <xdr:cNvSpPr>
          <a:spLocks noChangeArrowheads="1"/>
        </xdr:cNvSpPr>
      </xdr:nvSpPr>
      <xdr:spPr bwMode="auto">
        <a:xfrm>
          <a:off x="3117850" y="22733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171450</xdr:colOff>
      <xdr:row>12</xdr:row>
      <xdr:rowOff>114300</xdr:rowOff>
    </xdr:from>
    <xdr:to>
      <xdr:col>4</xdr:col>
      <xdr:colOff>361950</xdr:colOff>
      <xdr:row>12</xdr:row>
      <xdr:rowOff>304800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45F26C0E-79B2-AC41-B103-7D93462B26ED}"/>
            </a:ext>
          </a:extLst>
        </xdr:cNvPr>
        <xdr:cNvSpPr>
          <a:spLocks noChangeArrowheads="1"/>
        </xdr:cNvSpPr>
      </xdr:nvSpPr>
      <xdr:spPr bwMode="auto">
        <a:xfrm>
          <a:off x="3117850" y="31115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171450</xdr:colOff>
      <xdr:row>13</xdr:row>
      <xdr:rowOff>114300</xdr:rowOff>
    </xdr:from>
    <xdr:to>
      <xdr:col>4</xdr:col>
      <xdr:colOff>361950</xdr:colOff>
      <xdr:row>13</xdr:row>
      <xdr:rowOff>304800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90697A53-8EA9-0248-BE13-033B611B6E94}"/>
            </a:ext>
          </a:extLst>
        </xdr:cNvPr>
        <xdr:cNvSpPr>
          <a:spLocks noChangeArrowheads="1"/>
        </xdr:cNvSpPr>
      </xdr:nvSpPr>
      <xdr:spPr bwMode="auto">
        <a:xfrm>
          <a:off x="3117850" y="35306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171450</xdr:colOff>
      <xdr:row>14</xdr:row>
      <xdr:rowOff>114300</xdr:rowOff>
    </xdr:from>
    <xdr:to>
      <xdr:col>4</xdr:col>
      <xdr:colOff>361950</xdr:colOff>
      <xdr:row>14</xdr:row>
      <xdr:rowOff>304800</xdr:rowOff>
    </xdr:to>
    <xdr:sp macro="" textlink="">
      <xdr:nvSpPr>
        <xdr:cNvPr id="8" name="Oval 8">
          <a:extLst>
            <a:ext uri="{FF2B5EF4-FFF2-40B4-BE49-F238E27FC236}">
              <a16:creationId xmlns:a16="http://schemas.microsoft.com/office/drawing/2014/main" id="{3432E2CD-FB76-074C-8896-8C877B2C0481}"/>
            </a:ext>
          </a:extLst>
        </xdr:cNvPr>
        <xdr:cNvSpPr>
          <a:spLocks noChangeArrowheads="1"/>
        </xdr:cNvSpPr>
      </xdr:nvSpPr>
      <xdr:spPr bwMode="auto">
        <a:xfrm>
          <a:off x="3117850" y="39497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133350</xdr:colOff>
      <xdr:row>15</xdr:row>
      <xdr:rowOff>114300</xdr:rowOff>
    </xdr:from>
    <xdr:to>
      <xdr:col>4</xdr:col>
      <xdr:colOff>419100</xdr:colOff>
      <xdr:row>15</xdr:row>
      <xdr:rowOff>342900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7FD2223A-7381-994A-8906-C2F777DBF5A8}"/>
            </a:ext>
          </a:extLst>
        </xdr:cNvPr>
        <xdr:cNvSpPr>
          <a:spLocks noChangeArrowheads="1"/>
        </xdr:cNvSpPr>
      </xdr:nvSpPr>
      <xdr:spPr bwMode="auto">
        <a:xfrm>
          <a:off x="3079750" y="4368800"/>
          <a:ext cx="285750" cy="228600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171450</xdr:colOff>
      <xdr:row>16</xdr:row>
      <xdr:rowOff>114300</xdr:rowOff>
    </xdr:from>
    <xdr:to>
      <xdr:col>4</xdr:col>
      <xdr:colOff>361950</xdr:colOff>
      <xdr:row>16</xdr:row>
      <xdr:rowOff>304800</xdr:rowOff>
    </xdr:to>
    <xdr:sp macro="" textlink="">
      <xdr:nvSpPr>
        <xdr:cNvPr id="10" name="Oval 8">
          <a:extLst>
            <a:ext uri="{FF2B5EF4-FFF2-40B4-BE49-F238E27FC236}">
              <a16:creationId xmlns:a16="http://schemas.microsoft.com/office/drawing/2014/main" id="{BD57B829-3486-3447-9D52-D684BDAAA447}"/>
            </a:ext>
          </a:extLst>
        </xdr:cNvPr>
        <xdr:cNvSpPr>
          <a:spLocks noChangeArrowheads="1"/>
        </xdr:cNvSpPr>
      </xdr:nvSpPr>
      <xdr:spPr bwMode="auto">
        <a:xfrm>
          <a:off x="3117850" y="47879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171450</xdr:colOff>
      <xdr:row>17</xdr:row>
      <xdr:rowOff>114300</xdr:rowOff>
    </xdr:from>
    <xdr:to>
      <xdr:col>4</xdr:col>
      <xdr:colOff>361950</xdr:colOff>
      <xdr:row>17</xdr:row>
      <xdr:rowOff>304800</xdr:rowOff>
    </xdr:to>
    <xdr:sp macro="" textlink="">
      <xdr:nvSpPr>
        <xdr:cNvPr id="11" name="Oval 8">
          <a:extLst>
            <a:ext uri="{FF2B5EF4-FFF2-40B4-BE49-F238E27FC236}">
              <a16:creationId xmlns:a16="http://schemas.microsoft.com/office/drawing/2014/main" id="{69B51A58-82F1-4142-B8BC-3C5ABFFA3CB5}"/>
            </a:ext>
          </a:extLst>
        </xdr:cNvPr>
        <xdr:cNvSpPr>
          <a:spLocks noChangeArrowheads="1"/>
        </xdr:cNvSpPr>
      </xdr:nvSpPr>
      <xdr:spPr bwMode="auto">
        <a:xfrm>
          <a:off x="3117850" y="52070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133350</xdr:colOff>
      <xdr:row>18</xdr:row>
      <xdr:rowOff>114300</xdr:rowOff>
    </xdr:from>
    <xdr:to>
      <xdr:col>4</xdr:col>
      <xdr:colOff>419100</xdr:colOff>
      <xdr:row>18</xdr:row>
      <xdr:rowOff>342900</xdr:rowOff>
    </xdr:to>
    <xdr:sp macro="" textlink="">
      <xdr:nvSpPr>
        <xdr:cNvPr id="12" name="AutoShape 9">
          <a:extLst>
            <a:ext uri="{FF2B5EF4-FFF2-40B4-BE49-F238E27FC236}">
              <a16:creationId xmlns:a16="http://schemas.microsoft.com/office/drawing/2014/main" id="{C7C12A08-95B1-E940-8308-7DED403935B9}"/>
            </a:ext>
          </a:extLst>
        </xdr:cNvPr>
        <xdr:cNvSpPr>
          <a:spLocks noChangeArrowheads="1"/>
        </xdr:cNvSpPr>
      </xdr:nvSpPr>
      <xdr:spPr bwMode="auto">
        <a:xfrm>
          <a:off x="3079750" y="5626100"/>
          <a:ext cx="285750" cy="228600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171450</xdr:colOff>
      <xdr:row>19</xdr:row>
      <xdr:rowOff>114300</xdr:rowOff>
    </xdr:from>
    <xdr:to>
      <xdr:col>4</xdr:col>
      <xdr:colOff>361950</xdr:colOff>
      <xdr:row>19</xdr:row>
      <xdr:rowOff>304800</xdr:rowOff>
    </xdr:to>
    <xdr:sp macro="" textlink="">
      <xdr:nvSpPr>
        <xdr:cNvPr id="13" name="Oval 8">
          <a:extLst>
            <a:ext uri="{FF2B5EF4-FFF2-40B4-BE49-F238E27FC236}">
              <a16:creationId xmlns:a16="http://schemas.microsoft.com/office/drawing/2014/main" id="{C5DE2F77-32ED-8347-9544-0F8FD9AA010F}"/>
            </a:ext>
          </a:extLst>
        </xdr:cNvPr>
        <xdr:cNvSpPr>
          <a:spLocks noChangeArrowheads="1"/>
        </xdr:cNvSpPr>
      </xdr:nvSpPr>
      <xdr:spPr bwMode="auto">
        <a:xfrm>
          <a:off x="3117850" y="60452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133350</xdr:colOff>
      <xdr:row>20</xdr:row>
      <xdr:rowOff>114300</xdr:rowOff>
    </xdr:from>
    <xdr:to>
      <xdr:col>4</xdr:col>
      <xdr:colOff>419100</xdr:colOff>
      <xdr:row>20</xdr:row>
      <xdr:rowOff>342900</xdr:rowOff>
    </xdr:to>
    <xdr:sp macro="" textlink="">
      <xdr:nvSpPr>
        <xdr:cNvPr id="14" name="AutoShape 9">
          <a:extLst>
            <a:ext uri="{FF2B5EF4-FFF2-40B4-BE49-F238E27FC236}">
              <a16:creationId xmlns:a16="http://schemas.microsoft.com/office/drawing/2014/main" id="{390A9746-0309-A547-B991-F7BF3F6DDF73}"/>
            </a:ext>
          </a:extLst>
        </xdr:cNvPr>
        <xdr:cNvSpPr>
          <a:spLocks noChangeArrowheads="1"/>
        </xdr:cNvSpPr>
      </xdr:nvSpPr>
      <xdr:spPr bwMode="auto">
        <a:xfrm>
          <a:off x="3079750" y="6464300"/>
          <a:ext cx="285750" cy="228600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171450</xdr:colOff>
      <xdr:row>21</xdr:row>
      <xdr:rowOff>114300</xdr:rowOff>
    </xdr:from>
    <xdr:to>
      <xdr:col>4</xdr:col>
      <xdr:colOff>361950</xdr:colOff>
      <xdr:row>21</xdr:row>
      <xdr:rowOff>304800</xdr:rowOff>
    </xdr:to>
    <xdr:sp macro="" textlink="">
      <xdr:nvSpPr>
        <xdr:cNvPr id="15" name="Oval 8">
          <a:extLst>
            <a:ext uri="{FF2B5EF4-FFF2-40B4-BE49-F238E27FC236}">
              <a16:creationId xmlns:a16="http://schemas.microsoft.com/office/drawing/2014/main" id="{78166483-87EF-1448-8F5C-F18ABBC6750C}"/>
            </a:ext>
          </a:extLst>
        </xdr:cNvPr>
        <xdr:cNvSpPr>
          <a:spLocks noChangeArrowheads="1"/>
        </xdr:cNvSpPr>
      </xdr:nvSpPr>
      <xdr:spPr bwMode="auto">
        <a:xfrm>
          <a:off x="3117850" y="68834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171450</xdr:colOff>
      <xdr:row>22</xdr:row>
      <xdr:rowOff>114300</xdr:rowOff>
    </xdr:from>
    <xdr:to>
      <xdr:col>4</xdr:col>
      <xdr:colOff>361950</xdr:colOff>
      <xdr:row>22</xdr:row>
      <xdr:rowOff>304800</xdr:rowOff>
    </xdr:to>
    <xdr:sp macro="" textlink="">
      <xdr:nvSpPr>
        <xdr:cNvPr id="16" name="Oval 8">
          <a:extLst>
            <a:ext uri="{FF2B5EF4-FFF2-40B4-BE49-F238E27FC236}">
              <a16:creationId xmlns:a16="http://schemas.microsoft.com/office/drawing/2014/main" id="{7D077063-85AD-7F42-9A29-F10A148A4868}"/>
            </a:ext>
          </a:extLst>
        </xdr:cNvPr>
        <xdr:cNvSpPr>
          <a:spLocks noChangeArrowheads="1"/>
        </xdr:cNvSpPr>
      </xdr:nvSpPr>
      <xdr:spPr bwMode="auto">
        <a:xfrm>
          <a:off x="3117850" y="73025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171450</xdr:colOff>
      <xdr:row>23</xdr:row>
      <xdr:rowOff>114300</xdr:rowOff>
    </xdr:from>
    <xdr:to>
      <xdr:col>4</xdr:col>
      <xdr:colOff>361950</xdr:colOff>
      <xdr:row>23</xdr:row>
      <xdr:rowOff>304800</xdr:rowOff>
    </xdr:to>
    <xdr:sp macro="" textlink="">
      <xdr:nvSpPr>
        <xdr:cNvPr id="17" name="Oval 8">
          <a:extLst>
            <a:ext uri="{FF2B5EF4-FFF2-40B4-BE49-F238E27FC236}">
              <a16:creationId xmlns:a16="http://schemas.microsoft.com/office/drawing/2014/main" id="{48F64700-1881-9C41-8C79-F4DD17C8E965}"/>
            </a:ext>
          </a:extLst>
        </xdr:cNvPr>
        <xdr:cNvSpPr>
          <a:spLocks noChangeArrowheads="1"/>
        </xdr:cNvSpPr>
      </xdr:nvSpPr>
      <xdr:spPr bwMode="auto">
        <a:xfrm>
          <a:off x="3117850" y="77216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171450</xdr:colOff>
      <xdr:row>24</xdr:row>
      <xdr:rowOff>114300</xdr:rowOff>
    </xdr:from>
    <xdr:to>
      <xdr:col>4</xdr:col>
      <xdr:colOff>361950</xdr:colOff>
      <xdr:row>24</xdr:row>
      <xdr:rowOff>304800</xdr:rowOff>
    </xdr:to>
    <xdr:sp macro="" textlink="">
      <xdr:nvSpPr>
        <xdr:cNvPr id="18" name="Oval 8">
          <a:extLst>
            <a:ext uri="{FF2B5EF4-FFF2-40B4-BE49-F238E27FC236}">
              <a16:creationId xmlns:a16="http://schemas.microsoft.com/office/drawing/2014/main" id="{C588333A-A488-B748-8FB4-2460A7A6CA60}"/>
            </a:ext>
          </a:extLst>
        </xdr:cNvPr>
        <xdr:cNvSpPr>
          <a:spLocks noChangeArrowheads="1"/>
        </xdr:cNvSpPr>
      </xdr:nvSpPr>
      <xdr:spPr bwMode="auto">
        <a:xfrm>
          <a:off x="3117850" y="81407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104776</xdr:colOff>
      <xdr:row>9</xdr:row>
      <xdr:rowOff>47624</xdr:rowOff>
    </xdr:from>
    <xdr:to>
      <xdr:col>5</xdr:col>
      <xdr:colOff>434164</xdr:colOff>
      <xdr:row>9</xdr:row>
      <xdr:rowOff>377011</xdr:rowOff>
    </xdr:to>
    <xdr:pic>
      <xdr:nvPicPr>
        <xdr:cNvPr id="19" name="Imagen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18A8F6-D1F0-4F49-AF91-DD54F706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17875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10</xdr:row>
      <xdr:rowOff>47624</xdr:rowOff>
    </xdr:from>
    <xdr:to>
      <xdr:col>5</xdr:col>
      <xdr:colOff>434164</xdr:colOff>
      <xdr:row>10</xdr:row>
      <xdr:rowOff>377011</xdr:rowOff>
    </xdr:to>
    <xdr:pic>
      <xdr:nvPicPr>
        <xdr:cNvPr id="20" name="Imagen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6C3002-BF99-E54E-9ABB-81668B236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22066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11</xdr:row>
      <xdr:rowOff>47624</xdr:rowOff>
    </xdr:from>
    <xdr:to>
      <xdr:col>5</xdr:col>
      <xdr:colOff>434164</xdr:colOff>
      <xdr:row>11</xdr:row>
      <xdr:rowOff>377011</xdr:rowOff>
    </xdr:to>
    <xdr:pic>
      <xdr:nvPicPr>
        <xdr:cNvPr id="21" name="Imagen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4CEDFF-834B-A140-9FF1-21B111A74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26257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12</xdr:row>
      <xdr:rowOff>47624</xdr:rowOff>
    </xdr:from>
    <xdr:to>
      <xdr:col>5</xdr:col>
      <xdr:colOff>434164</xdr:colOff>
      <xdr:row>12</xdr:row>
      <xdr:rowOff>377011</xdr:rowOff>
    </xdr:to>
    <xdr:pic>
      <xdr:nvPicPr>
        <xdr:cNvPr id="22" name="Imagen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AE885B-DC1D-7A49-87AB-78996D74C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30448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13</xdr:row>
      <xdr:rowOff>47624</xdr:rowOff>
    </xdr:from>
    <xdr:to>
      <xdr:col>5</xdr:col>
      <xdr:colOff>434164</xdr:colOff>
      <xdr:row>13</xdr:row>
      <xdr:rowOff>377011</xdr:rowOff>
    </xdr:to>
    <xdr:pic>
      <xdr:nvPicPr>
        <xdr:cNvPr id="23" name="Imagen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B5362F-69C6-D348-A21C-7BBC06A27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34639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14</xdr:row>
      <xdr:rowOff>47624</xdr:rowOff>
    </xdr:from>
    <xdr:to>
      <xdr:col>5</xdr:col>
      <xdr:colOff>434164</xdr:colOff>
      <xdr:row>14</xdr:row>
      <xdr:rowOff>377011</xdr:rowOff>
    </xdr:to>
    <xdr:pic>
      <xdr:nvPicPr>
        <xdr:cNvPr id="24" name="Imagen 3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9A1F82A-FCF7-6D43-8FC8-FA402ED6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38830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15</xdr:row>
      <xdr:rowOff>47624</xdr:rowOff>
    </xdr:from>
    <xdr:to>
      <xdr:col>5</xdr:col>
      <xdr:colOff>434164</xdr:colOff>
      <xdr:row>15</xdr:row>
      <xdr:rowOff>377011</xdr:rowOff>
    </xdr:to>
    <xdr:pic>
      <xdr:nvPicPr>
        <xdr:cNvPr id="25" name="Imagen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4808D61-AA2C-2847-94A0-AEB815FD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43021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16</xdr:row>
      <xdr:rowOff>47624</xdr:rowOff>
    </xdr:from>
    <xdr:to>
      <xdr:col>5</xdr:col>
      <xdr:colOff>434164</xdr:colOff>
      <xdr:row>16</xdr:row>
      <xdr:rowOff>377011</xdr:rowOff>
    </xdr:to>
    <xdr:pic>
      <xdr:nvPicPr>
        <xdr:cNvPr id="26" name="Imagen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2AF5950-5FE2-174E-BADC-F62C67C0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47212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17</xdr:row>
      <xdr:rowOff>47624</xdr:rowOff>
    </xdr:from>
    <xdr:to>
      <xdr:col>5</xdr:col>
      <xdr:colOff>434164</xdr:colOff>
      <xdr:row>17</xdr:row>
      <xdr:rowOff>377011</xdr:rowOff>
    </xdr:to>
    <xdr:pic>
      <xdr:nvPicPr>
        <xdr:cNvPr id="27" name="Imagen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E02BE69-DD29-894C-959E-7FB829E9C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51403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18</xdr:row>
      <xdr:rowOff>47624</xdr:rowOff>
    </xdr:from>
    <xdr:to>
      <xdr:col>5</xdr:col>
      <xdr:colOff>434164</xdr:colOff>
      <xdr:row>18</xdr:row>
      <xdr:rowOff>377011</xdr:rowOff>
    </xdr:to>
    <xdr:pic>
      <xdr:nvPicPr>
        <xdr:cNvPr id="28" name="Imagen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84D0026-F9FD-7843-BA8A-74939ED25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55594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19</xdr:row>
      <xdr:rowOff>47624</xdr:rowOff>
    </xdr:from>
    <xdr:to>
      <xdr:col>5</xdr:col>
      <xdr:colOff>434164</xdr:colOff>
      <xdr:row>19</xdr:row>
      <xdr:rowOff>377011</xdr:rowOff>
    </xdr:to>
    <xdr:pic>
      <xdr:nvPicPr>
        <xdr:cNvPr id="29" name="Imagen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A81859-16E1-7A4F-8698-23071642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59785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20</xdr:row>
      <xdr:rowOff>47624</xdr:rowOff>
    </xdr:from>
    <xdr:to>
      <xdr:col>5</xdr:col>
      <xdr:colOff>434164</xdr:colOff>
      <xdr:row>20</xdr:row>
      <xdr:rowOff>377011</xdr:rowOff>
    </xdr:to>
    <xdr:pic>
      <xdr:nvPicPr>
        <xdr:cNvPr id="30" name="Imagen 4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1174B03-E157-D04A-859B-090D4CABF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63976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21</xdr:row>
      <xdr:rowOff>47624</xdr:rowOff>
    </xdr:from>
    <xdr:to>
      <xdr:col>5</xdr:col>
      <xdr:colOff>434164</xdr:colOff>
      <xdr:row>21</xdr:row>
      <xdr:rowOff>377011</xdr:rowOff>
    </xdr:to>
    <xdr:pic>
      <xdr:nvPicPr>
        <xdr:cNvPr id="31" name="Imagen 4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3D54184-B355-FD43-8408-E621C7A6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68167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22</xdr:row>
      <xdr:rowOff>47624</xdr:rowOff>
    </xdr:from>
    <xdr:to>
      <xdr:col>5</xdr:col>
      <xdr:colOff>434164</xdr:colOff>
      <xdr:row>22</xdr:row>
      <xdr:rowOff>377011</xdr:rowOff>
    </xdr:to>
    <xdr:pic>
      <xdr:nvPicPr>
        <xdr:cNvPr id="32" name="Imagen 4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57238E-3F47-9B46-9992-DC3698BE1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72358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23</xdr:row>
      <xdr:rowOff>47624</xdr:rowOff>
    </xdr:from>
    <xdr:to>
      <xdr:col>5</xdr:col>
      <xdr:colOff>434164</xdr:colOff>
      <xdr:row>23</xdr:row>
      <xdr:rowOff>377011</xdr:rowOff>
    </xdr:to>
    <xdr:pic>
      <xdr:nvPicPr>
        <xdr:cNvPr id="33" name="Imagen 4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808C8FD-FE5A-D440-93B8-02A88E54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76549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24</xdr:row>
      <xdr:rowOff>47624</xdr:rowOff>
    </xdr:from>
    <xdr:to>
      <xdr:col>5</xdr:col>
      <xdr:colOff>434164</xdr:colOff>
      <xdr:row>24</xdr:row>
      <xdr:rowOff>377011</xdr:rowOff>
    </xdr:to>
    <xdr:pic>
      <xdr:nvPicPr>
        <xdr:cNvPr id="34" name="Imagen 4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3AD02D4-478D-6742-AD22-87C4E96FA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8074024"/>
          <a:ext cx="329388" cy="329387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25</xdr:row>
      <xdr:rowOff>47624</xdr:rowOff>
    </xdr:from>
    <xdr:to>
      <xdr:col>5</xdr:col>
      <xdr:colOff>434164</xdr:colOff>
      <xdr:row>25</xdr:row>
      <xdr:rowOff>377011</xdr:rowOff>
    </xdr:to>
    <xdr:pic>
      <xdr:nvPicPr>
        <xdr:cNvPr id="35" name="Imagen 45">
          <a:extLst>
            <a:ext uri="{FF2B5EF4-FFF2-40B4-BE49-F238E27FC236}">
              <a16:creationId xmlns:a16="http://schemas.microsoft.com/office/drawing/2014/main" id="{4481D44E-B0DE-4D43-BC46-BE676004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8493124"/>
          <a:ext cx="329388" cy="329387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11</xdr:row>
      <xdr:rowOff>114300</xdr:rowOff>
    </xdr:from>
    <xdr:to>
      <xdr:col>4</xdr:col>
      <xdr:colOff>361950</xdr:colOff>
      <xdr:row>11</xdr:row>
      <xdr:rowOff>304800</xdr:rowOff>
    </xdr:to>
    <xdr:sp macro="" textlink="">
      <xdr:nvSpPr>
        <xdr:cNvPr id="36" name="Oval 8">
          <a:extLst>
            <a:ext uri="{FF2B5EF4-FFF2-40B4-BE49-F238E27FC236}">
              <a16:creationId xmlns:a16="http://schemas.microsoft.com/office/drawing/2014/main" id="{E5420502-8871-5543-82C6-22AB00B95AFF}"/>
            </a:ext>
          </a:extLst>
        </xdr:cNvPr>
        <xdr:cNvSpPr>
          <a:spLocks noChangeArrowheads="1"/>
        </xdr:cNvSpPr>
      </xdr:nvSpPr>
      <xdr:spPr bwMode="auto">
        <a:xfrm>
          <a:off x="3117850" y="2692400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171450</xdr:colOff>
      <xdr:row>2</xdr:row>
      <xdr:rowOff>19049</xdr:rowOff>
    </xdr:from>
    <xdr:to>
      <xdr:col>5</xdr:col>
      <xdr:colOff>323850</xdr:colOff>
      <xdr:row>2</xdr:row>
      <xdr:rowOff>180974</xdr:rowOff>
    </xdr:to>
    <xdr:sp macro="" textlink="">
      <xdr:nvSpPr>
        <xdr:cNvPr id="37" name="Oval 8">
          <a:extLst>
            <a:ext uri="{FF2B5EF4-FFF2-40B4-BE49-F238E27FC236}">
              <a16:creationId xmlns:a16="http://schemas.microsoft.com/office/drawing/2014/main" id="{3C33F122-E5B4-174C-A739-3B309AA6E4E5}"/>
            </a:ext>
          </a:extLst>
        </xdr:cNvPr>
        <xdr:cNvSpPr>
          <a:spLocks noChangeArrowheads="1"/>
        </xdr:cNvSpPr>
      </xdr:nvSpPr>
      <xdr:spPr bwMode="auto">
        <a:xfrm>
          <a:off x="3752850" y="311149"/>
          <a:ext cx="152400" cy="161925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161925</xdr:colOff>
      <xdr:row>3</xdr:row>
      <xdr:rowOff>28574</xdr:rowOff>
    </xdr:from>
    <xdr:to>
      <xdr:col>5</xdr:col>
      <xdr:colOff>352425</xdr:colOff>
      <xdr:row>3</xdr:row>
      <xdr:rowOff>190499</xdr:rowOff>
    </xdr:to>
    <xdr:sp macro="" textlink="">
      <xdr:nvSpPr>
        <xdr:cNvPr id="38" name="AutoShape 9">
          <a:extLst>
            <a:ext uri="{FF2B5EF4-FFF2-40B4-BE49-F238E27FC236}">
              <a16:creationId xmlns:a16="http://schemas.microsoft.com/office/drawing/2014/main" id="{6171AF19-7F61-A24A-AE1F-233C83158665}"/>
            </a:ext>
          </a:extLst>
        </xdr:cNvPr>
        <xdr:cNvSpPr>
          <a:spLocks noChangeArrowheads="1"/>
        </xdr:cNvSpPr>
      </xdr:nvSpPr>
      <xdr:spPr bwMode="auto">
        <a:xfrm>
          <a:off x="3743325" y="511174"/>
          <a:ext cx="190500" cy="161925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190499</xdr:colOff>
      <xdr:row>4</xdr:row>
      <xdr:rowOff>38099</xdr:rowOff>
    </xdr:from>
    <xdr:to>
      <xdr:col>5</xdr:col>
      <xdr:colOff>352424</xdr:colOff>
      <xdr:row>4</xdr:row>
      <xdr:rowOff>171448</xdr:rowOff>
    </xdr:to>
    <xdr:sp macro="" textlink="">
      <xdr:nvSpPr>
        <xdr:cNvPr id="39" name="37 Triángulo isósceles">
          <a:extLst>
            <a:ext uri="{FF2B5EF4-FFF2-40B4-BE49-F238E27FC236}">
              <a16:creationId xmlns:a16="http://schemas.microsoft.com/office/drawing/2014/main" id="{60FB2F50-8CD4-874D-8356-BFA8B85879AA}"/>
            </a:ext>
          </a:extLst>
        </xdr:cNvPr>
        <xdr:cNvSpPr/>
      </xdr:nvSpPr>
      <xdr:spPr>
        <a:xfrm rot="10800000">
          <a:off x="3771899" y="711199"/>
          <a:ext cx="161925" cy="1333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ES"/>
        </a:p>
      </xdr:txBody>
    </xdr:sp>
    <xdr:clientData/>
  </xdr:twoCellAnchor>
  <xdr:twoCellAnchor>
    <xdr:from>
      <xdr:col>6</xdr:col>
      <xdr:colOff>228600</xdr:colOff>
      <xdr:row>7</xdr:row>
      <xdr:rowOff>28575</xdr:rowOff>
    </xdr:from>
    <xdr:to>
      <xdr:col>6</xdr:col>
      <xdr:colOff>628650</xdr:colOff>
      <xdr:row>7</xdr:row>
      <xdr:rowOff>28575</xdr:rowOff>
    </xdr:to>
    <xdr:cxnSp macro="">
      <xdr:nvCxnSpPr>
        <xdr:cNvPr id="40" name="Conector recto de flecha 4">
          <a:extLst>
            <a:ext uri="{FF2B5EF4-FFF2-40B4-BE49-F238E27FC236}">
              <a16:creationId xmlns:a16="http://schemas.microsoft.com/office/drawing/2014/main" id="{3D40CE02-F928-F341-9CFA-68F268D93155}"/>
            </a:ext>
          </a:extLst>
        </xdr:cNvPr>
        <xdr:cNvCxnSpPr/>
      </xdr:nvCxnSpPr>
      <xdr:spPr>
        <a:xfrm>
          <a:off x="4419600" y="1158875"/>
          <a:ext cx="40005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FCB2-9294-2342-89BA-520EF642E1FD}">
  <dimension ref="B2:R29"/>
  <sheetViews>
    <sheetView showGridLines="0" tabSelected="1" zoomScale="120" zoomScaleNormal="120" workbookViewId="0">
      <selection activeCell="R16" sqref="R16"/>
    </sheetView>
  </sheetViews>
  <sheetFormatPr baseColWidth="10" defaultColWidth="9.1640625" defaultRowHeight="15" x14ac:dyDescent="0.2"/>
  <cols>
    <col min="1" max="1" width="2.5" customWidth="1"/>
    <col min="2" max="2" width="2.6640625" customWidth="1"/>
    <col min="3" max="3" width="5" customWidth="1"/>
    <col min="4" max="4" width="28.5" customWidth="1"/>
    <col min="5" max="5" width="8.33203125" bestFit="1" customWidth="1"/>
    <col min="6" max="6" width="8" customWidth="1"/>
    <col min="7" max="10" width="10" customWidth="1"/>
    <col min="12" max="12" width="11.83203125" customWidth="1"/>
    <col min="13" max="13" width="2.6640625" customWidth="1"/>
    <col min="14" max="14" width="3" customWidth="1"/>
    <col min="15" max="15" width="7.5" customWidth="1"/>
    <col min="16" max="16" width="8.5" customWidth="1"/>
    <col min="17" max="17" width="7.5" customWidth="1"/>
  </cols>
  <sheetData>
    <row r="2" spans="2:18" ht="8.25" customHeight="1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8" x14ac:dyDescent="0.2">
      <c r="B3" s="4"/>
      <c r="C3" s="5" t="s">
        <v>0</v>
      </c>
      <c r="D3" s="5"/>
      <c r="E3" s="5"/>
      <c r="F3" s="6"/>
      <c r="G3" s="6">
        <v>13</v>
      </c>
      <c r="H3" s="6">
        <v>205.93</v>
      </c>
      <c r="I3" s="7">
        <f>H3/$J$8</f>
        <v>0.86542825710555527</v>
      </c>
      <c r="J3" s="5"/>
      <c r="K3" s="5"/>
      <c r="L3" s="8">
        <v>100</v>
      </c>
      <c r="M3" s="9"/>
    </row>
    <row r="4" spans="2:18" x14ac:dyDescent="0.2">
      <c r="B4" s="4"/>
      <c r="C4" s="5" t="s">
        <v>1</v>
      </c>
      <c r="D4" s="5"/>
      <c r="E4" s="5"/>
      <c r="F4" s="6"/>
      <c r="G4" s="6">
        <v>3</v>
      </c>
      <c r="H4" s="6">
        <v>5.92</v>
      </c>
      <c r="I4" s="7">
        <f>H4/$J$8</f>
        <v>2.487901365544062E-2</v>
      </c>
      <c r="J4" s="5"/>
      <c r="K4" s="5"/>
      <c r="L4" s="10" t="s">
        <v>2</v>
      </c>
      <c r="M4" s="9"/>
    </row>
    <row r="5" spans="2:18" x14ac:dyDescent="0.2">
      <c r="B5" s="4"/>
      <c r="C5" s="5" t="s">
        <v>3</v>
      </c>
      <c r="D5" s="5"/>
      <c r="E5" s="5"/>
      <c r="F5" s="6"/>
      <c r="G5" s="6">
        <v>1</v>
      </c>
      <c r="H5" s="6">
        <v>0</v>
      </c>
      <c r="I5" s="7">
        <f>H5/$J$8</f>
        <v>0</v>
      </c>
      <c r="J5" s="5"/>
      <c r="K5" s="5"/>
      <c r="L5" s="5"/>
      <c r="M5" s="9"/>
    </row>
    <row r="6" spans="2:18" ht="8.25" customHeight="1" x14ac:dyDescent="0.2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</row>
    <row r="7" spans="2:18" ht="13.5" customHeight="1" x14ac:dyDescent="0.2"/>
    <row r="8" spans="2:18" ht="18" customHeight="1" x14ac:dyDescent="0.2">
      <c r="G8" s="14">
        <f>H8/60</f>
        <v>6.6097654320987598</v>
      </c>
      <c r="H8" s="15">
        <f>SUM(H10:H26)</f>
        <v>396.58592592592561</v>
      </c>
      <c r="I8" s="15">
        <f>SUM(I10:I26)</f>
        <v>3.9658592592592563</v>
      </c>
      <c r="J8" s="15">
        <f>SUM(J10:J26)</f>
        <v>237.95155555555539</v>
      </c>
      <c r="K8" s="16">
        <f>SUM(K10:K26)</f>
        <v>1.0000000000000002</v>
      </c>
      <c r="R8" s="17"/>
    </row>
    <row r="9" spans="2:18" ht="30" customHeight="1" x14ac:dyDescent="0.2">
      <c r="B9" s="18"/>
      <c r="C9" s="19" t="s">
        <v>4</v>
      </c>
      <c r="D9" s="20" t="s">
        <v>5</v>
      </c>
      <c r="E9" s="20" t="s">
        <v>6</v>
      </c>
      <c r="F9" s="20" t="s">
        <v>7</v>
      </c>
      <c r="G9" s="20" t="s">
        <v>8</v>
      </c>
      <c r="H9" s="20" t="s">
        <v>9</v>
      </c>
      <c r="I9" s="20" t="s">
        <v>10</v>
      </c>
      <c r="J9" s="20" t="s">
        <v>11</v>
      </c>
      <c r="K9" s="20" t="s">
        <v>12</v>
      </c>
      <c r="L9" s="21" t="s">
        <v>13</v>
      </c>
      <c r="M9" s="22"/>
    </row>
    <row r="10" spans="2:18" ht="33" customHeight="1" x14ac:dyDescent="0.2">
      <c r="B10" s="23"/>
      <c r="C10" s="24">
        <v>1</v>
      </c>
      <c r="D10" s="25" t="s">
        <v>14</v>
      </c>
      <c r="E10" s="26"/>
      <c r="F10" s="26"/>
      <c r="G10" s="26">
        <f t="shared" ref="G10:G26" si="0">$L$3</f>
        <v>100</v>
      </c>
      <c r="H10" s="27">
        <f>((1)+(51/60))*4</f>
        <v>7.4</v>
      </c>
      <c r="I10" s="27">
        <f>H10/G10</f>
        <v>7.400000000000001E-2</v>
      </c>
      <c r="J10" s="27">
        <f>I10*60</f>
        <v>4.4400000000000004</v>
      </c>
      <c r="K10" s="28">
        <f>J10/$J$8</f>
        <v>1.8659260241580468E-2</v>
      </c>
      <c r="L10" s="29"/>
      <c r="M10" s="30"/>
      <c r="O10" s="31">
        <f>H10+H12+H14+H18</f>
        <v>15.333333333333332</v>
      </c>
      <c r="P10" s="32" t="s">
        <v>15</v>
      </c>
      <c r="Q10" s="33">
        <f>O10/$O$13</f>
        <v>3.8663332032103669E-2</v>
      </c>
    </row>
    <row r="11" spans="2:18" ht="33" customHeight="1" x14ac:dyDescent="0.2">
      <c r="B11" s="23"/>
      <c r="C11" s="34">
        <v>2</v>
      </c>
      <c r="D11" s="25" t="s">
        <v>16</v>
      </c>
      <c r="E11" s="26"/>
      <c r="F11" s="26"/>
      <c r="G11" s="26">
        <f t="shared" si="0"/>
        <v>100</v>
      </c>
      <c r="H11" s="27">
        <v>30.8</v>
      </c>
      <c r="I11" s="27">
        <f t="shared" ref="I11:I26" si="1">H11/G11</f>
        <v>0.308</v>
      </c>
      <c r="J11" s="27">
        <f t="shared" ref="J11:J26" si="2">I11*60</f>
        <v>18.48</v>
      </c>
      <c r="K11" s="28">
        <f t="shared" ref="K11:K26" si="3">J11/$J$8</f>
        <v>7.7662866951443019E-2</v>
      </c>
      <c r="L11" s="29"/>
      <c r="M11" s="30"/>
      <c r="O11" s="35">
        <f>H8-O10-O12</f>
        <v>371.38592592592562</v>
      </c>
      <c r="P11" s="32" t="s">
        <v>17</v>
      </c>
      <c r="Q11" s="36">
        <f>O11/$O$13</f>
        <v>0.93645765431245576</v>
      </c>
    </row>
    <row r="12" spans="2:18" ht="33" customHeight="1" x14ac:dyDescent="0.2">
      <c r="B12" s="37"/>
      <c r="C12" s="24">
        <v>3</v>
      </c>
      <c r="D12" s="25" t="s">
        <v>18</v>
      </c>
      <c r="E12" s="26"/>
      <c r="F12" s="26"/>
      <c r="G12" s="26">
        <f t="shared" si="0"/>
        <v>100</v>
      </c>
      <c r="H12" s="27">
        <v>4.55</v>
      </c>
      <c r="I12" s="27">
        <f t="shared" si="1"/>
        <v>4.5499999999999999E-2</v>
      </c>
      <c r="J12" s="27">
        <f t="shared" si="2"/>
        <v>2.73</v>
      </c>
      <c r="K12" s="28">
        <f t="shared" si="3"/>
        <v>1.1472923526917719E-2</v>
      </c>
      <c r="L12" s="29"/>
      <c r="M12" s="30"/>
      <c r="O12" s="38">
        <f>H16+H19+H21</f>
        <v>9.8666666666666671</v>
      </c>
      <c r="P12" s="32" t="s">
        <v>19</v>
      </c>
      <c r="Q12" s="39">
        <f>O12/$O$13</f>
        <v>2.4879013655440624E-2</v>
      </c>
    </row>
    <row r="13" spans="2:18" ht="33" customHeight="1" x14ac:dyDescent="0.2">
      <c r="B13" s="37"/>
      <c r="C13" s="34">
        <v>4</v>
      </c>
      <c r="D13" s="40" t="s">
        <v>20</v>
      </c>
      <c r="E13" s="26"/>
      <c r="F13" s="26"/>
      <c r="G13" s="26">
        <f t="shared" si="0"/>
        <v>100</v>
      </c>
      <c r="H13" s="27">
        <v>78.88</v>
      </c>
      <c r="I13" s="27">
        <f t="shared" si="1"/>
        <v>0.78879999999999995</v>
      </c>
      <c r="J13" s="27">
        <f t="shared" si="2"/>
        <v>47.327999999999996</v>
      </c>
      <c r="K13" s="28">
        <f t="shared" si="3"/>
        <v>0.19889762808863068</v>
      </c>
      <c r="L13" s="29"/>
      <c r="M13" s="30"/>
      <c r="O13" s="41">
        <f>SUM(O10:O12)</f>
        <v>396.58592592592561</v>
      </c>
      <c r="Q13" s="42">
        <f>SUM(Q10:Q12)</f>
        <v>1</v>
      </c>
    </row>
    <row r="14" spans="2:18" ht="33" customHeight="1" x14ac:dyDescent="0.2">
      <c r="B14" s="23"/>
      <c r="C14" s="24">
        <v>5</v>
      </c>
      <c r="D14" s="25" t="s">
        <v>21</v>
      </c>
      <c r="E14" s="26"/>
      <c r="F14" s="26"/>
      <c r="G14" s="26">
        <f t="shared" si="0"/>
        <v>100</v>
      </c>
      <c r="H14" s="27">
        <f>((1)+(20/60))</f>
        <v>1.3333333333333333</v>
      </c>
      <c r="I14" s="27">
        <f t="shared" si="1"/>
        <v>1.3333333333333332E-2</v>
      </c>
      <c r="J14" s="27">
        <f t="shared" si="2"/>
        <v>0.79999999999999993</v>
      </c>
      <c r="K14" s="28">
        <f t="shared" si="3"/>
        <v>3.3620288723568404E-3</v>
      </c>
      <c r="L14" s="29"/>
      <c r="M14" s="30"/>
    </row>
    <row r="15" spans="2:18" ht="33" customHeight="1" x14ac:dyDescent="0.2">
      <c r="B15" s="23"/>
      <c r="C15" s="24">
        <v>6</v>
      </c>
      <c r="D15" s="43" t="s">
        <v>22</v>
      </c>
      <c r="E15" s="26"/>
      <c r="F15" s="26"/>
      <c r="G15" s="26">
        <f t="shared" si="0"/>
        <v>100</v>
      </c>
      <c r="H15" s="27">
        <f>((6)+(10/60))</f>
        <v>6.166666666666667</v>
      </c>
      <c r="I15" s="27">
        <f t="shared" si="1"/>
        <v>6.1666666666666668E-2</v>
      </c>
      <c r="J15" s="27">
        <f t="shared" si="2"/>
        <v>3.7</v>
      </c>
      <c r="K15" s="28">
        <f t="shared" si="3"/>
        <v>1.5549383534650388E-2</v>
      </c>
      <c r="L15" s="29"/>
      <c r="M15" s="30"/>
    </row>
    <row r="16" spans="2:18" ht="33" customHeight="1" x14ac:dyDescent="0.2">
      <c r="B16" s="37"/>
      <c r="C16" s="34">
        <v>7</v>
      </c>
      <c r="D16" s="43" t="s">
        <v>23</v>
      </c>
      <c r="E16" s="26"/>
      <c r="F16" s="26"/>
      <c r="G16" s="26">
        <f t="shared" si="0"/>
        <v>100</v>
      </c>
      <c r="H16" s="27">
        <f>((4)+(24/60))</f>
        <v>4.4000000000000004</v>
      </c>
      <c r="I16" s="27">
        <f t="shared" si="1"/>
        <v>4.4000000000000004E-2</v>
      </c>
      <c r="J16" s="27">
        <f t="shared" si="2"/>
        <v>2.64</v>
      </c>
      <c r="K16" s="28">
        <f t="shared" si="3"/>
        <v>1.1094695278777574E-2</v>
      </c>
      <c r="L16" s="29"/>
      <c r="M16" s="30"/>
    </row>
    <row r="17" spans="2:13" ht="33" customHeight="1" x14ac:dyDescent="0.2">
      <c r="B17" s="23"/>
      <c r="C17" s="34">
        <v>8</v>
      </c>
      <c r="D17" s="43" t="s">
        <v>24</v>
      </c>
      <c r="E17" s="26"/>
      <c r="F17" s="26"/>
      <c r="G17" s="26">
        <f t="shared" si="0"/>
        <v>100</v>
      </c>
      <c r="H17" s="27">
        <f>((23)+(40/60))</f>
        <v>23.666666666666668</v>
      </c>
      <c r="I17" s="27">
        <f t="shared" si="1"/>
        <v>0.23666666666666669</v>
      </c>
      <c r="J17" s="27">
        <f t="shared" si="2"/>
        <v>14.200000000000001</v>
      </c>
      <c r="K17" s="28">
        <f t="shared" si="3"/>
        <v>5.9676012484333928E-2</v>
      </c>
      <c r="L17" s="29"/>
      <c r="M17" s="30"/>
    </row>
    <row r="18" spans="2:13" ht="33" customHeight="1" x14ac:dyDescent="0.2">
      <c r="B18" s="23"/>
      <c r="C18" s="24">
        <v>9</v>
      </c>
      <c r="D18" s="25" t="s">
        <v>25</v>
      </c>
      <c r="E18" s="26"/>
      <c r="F18" s="26"/>
      <c r="G18" s="26">
        <f t="shared" si="0"/>
        <v>100</v>
      </c>
      <c r="H18" s="27">
        <f>((2)+(3/60))</f>
        <v>2.0499999999999998</v>
      </c>
      <c r="I18" s="27">
        <f t="shared" si="1"/>
        <v>2.0499999999999997E-2</v>
      </c>
      <c r="J18" s="27">
        <f t="shared" si="2"/>
        <v>1.2299999999999998</v>
      </c>
      <c r="K18" s="28">
        <f t="shared" si="3"/>
        <v>5.1691193912486418E-3</v>
      </c>
      <c r="L18" s="29"/>
      <c r="M18" s="30"/>
    </row>
    <row r="19" spans="2:13" ht="33" customHeight="1" x14ac:dyDescent="0.2">
      <c r="B19" s="37"/>
      <c r="C19" s="34">
        <v>10</v>
      </c>
      <c r="D19" s="25" t="s">
        <v>26</v>
      </c>
      <c r="E19" s="26"/>
      <c r="F19" s="26"/>
      <c r="G19" s="26">
        <f t="shared" si="0"/>
        <v>100</v>
      </c>
      <c r="H19" s="27">
        <f>((4)+(15/60))</f>
        <v>4.25</v>
      </c>
      <c r="I19" s="27">
        <f t="shared" si="1"/>
        <v>4.2500000000000003E-2</v>
      </c>
      <c r="J19" s="27">
        <f t="shared" si="2"/>
        <v>2.5500000000000003</v>
      </c>
      <c r="K19" s="28">
        <f t="shared" si="3"/>
        <v>1.071646703063743E-2</v>
      </c>
      <c r="L19" s="29"/>
      <c r="M19" s="30"/>
    </row>
    <row r="20" spans="2:13" ht="33" customHeight="1" x14ac:dyDescent="0.2">
      <c r="B20" s="23"/>
      <c r="C20" s="34">
        <v>11</v>
      </c>
      <c r="D20" s="25" t="s">
        <v>27</v>
      </c>
      <c r="E20" s="26"/>
      <c r="F20" s="26"/>
      <c r="G20" s="26">
        <f t="shared" si="0"/>
        <v>100</v>
      </c>
      <c r="H20" s="27">
        <f>((25)+(38/60))</f>
        <v>25.633333333333333</v>
      </c>
      <c r="I20" s="27">
        <f t="shared" si="1"/>
        <v>0.2563333333333333</v>
      </c>
      <c r="J20" s="27">
        <f t="shared" si="2"/>
        <v>15.379999999999999</v>
      </c>
      <c r="K20" s="28">
        <f t="shared" si="3"/>
        <v>6.4635005071060264E-2</v>
      </c>
      <c r="L20" s="29"/>
      <c r="M20" s="30"/>
    </row>
    <row r="21" spans="2:13" ht="33" customHeight="1" x14ac:dyDescent="0.2">
      <c r="B21" s="37"/>
      <c r="C21" s="34">
        <v>12</v>
      </c>
      <c r="D21" s="25" t="s">
        <v>28</v>
      </c>
      <c r="E21" s="26"/>
      <c r="F21" s="26"/>
      <c r="G21" s="26">
        <f t="shared" si="0"/>
        <v>100</v>
      </c>
      <c r="H21" s="27">
        <f>((1)+(13/60))</f>
        <v>1.2166666666666668</v>
      </c>
      <c r="I21" s="27">
        <f t="shared" si="1"/>
        <v>1.2166666666666668E-2</v>
      </c>
      <c r="J21" s="27">
        <f t="shared" si="2"/>
        <v>0.73000000000000009</v>
      </c>
      <c r="K21" s="28">
        <f t="shared" si="3"/>
        <v>3.0678513460256174E-3</v>
      </c>
      <c r="L21" s="29"/>
      <c r="M21" s="30"/>
    </row>
    <row r="22" spans="2:13" ht="33" customHeight="1" x14ac:dyDescent="0.2">
      <c r="B22" s="37"/>
      <c r="C22" s="34">
        <v>13</v>
      </c>
      <c r="D22" s="25" t="s">
        <v>29</v>
      </c>
      <c r="E22" s="26"/>
      <c r="F22" s="26"/>
      <c r="G22" s="26">
        <f t="shared" si="0"/>
        <v>100</v>
      </c>
      <c r="H22" s="27">
        <f>((19)+(49/60))</f>
        <v>19.816666666666666</v>
      </c>
      <c r="I22" s="27">
        <f t="shared" si="1"/>
        <v>0.19816666666666666</v>
      </c>
      <c r="J22" s="27">
        <f t="shared" si="2"/>
        <v>11.889999999999999</v>
      </c>
      <c r="K22" s="28">
        <f t="shared" si="3"/>
        <v>4.9968154115403542E-2</v>
      </c>
      <c r="L22" s="29"/>
      <c r="M22" s="30"/>
    </row>
    <row r="23" spans="2:13" ht="33" customHeight="1" x14ac:dyDescent="0.2">
      <c r="B23" s="37"/>
      <c r="C23" s="34">
        <v>14</v>
      </c>
      <c r="D23" s="25" t="s">
        <v>30</v>
      </c>
      <c r="E23" s="26"/>
      <c r="F23" s="26"/>
      <c r="G23" s="26">
        <f t="shared" si="0"/>
        <v>100</v>
      </c>
      <c r="H23" s="27">
        <f>1.59259259259259*100</f>
        <v>159.25925925925898</v>
      </c>
      <c r="I23" s="27">
        <f t="shared" si="1"/>
        <v>1.5925925925925899</v>
      </c>
      <c r="J23" s="27">
        <f t="shared" si="2"/>
        <v>95.555555555555401</v>
      </c>
      <c r="K23" s="28">
        <f t="shared" si="3"/>
        <v>0.40157567086484419</v>
      </c>
      <c r="L23" s="29"/>
      <c r="M23" s="30"/>
    </row>
    <row r="24" spans="2:13" ht="33" customHeight="1" x14ac:dyDescent="0.2">
      <c r="B24" s="23"/>
      <c r="C24" s="34">
        <v>15</v>
      </c>
      <c r="D24" s="25" t="s">
        <v>31</v>
      </c>
      <c r="E24" s="26"/>
      <c r="F24" s="26"/>
      <c r="G24" s="26">
        <f t="shared" si="0"/>
        <v>100</v>
      </c>
      <c r="H24" s="27">
        <v>22.53</v>
      </c>
      <c r="I24" s="27">
        <f t="shared" si="1"/>
        <v>0.2253</v>
      </c>
      <c r="J24" s="27">
        <f t="shared" si="2"/>
        <v>13.518000000000001</v>
      </c>
      <c r="K24" s="28">
        <f t="shared" si="3"/>
        <v>5.6809882870649718E-2</v>
      </c>
      <c r="L24" s="29"/>
      <c r="M24" s="30"/>
    </row>
    <row r="25" spans="2:13" ht="33" customHeight="1" x14ac:dyDescent="0.2">
      <c r="B25" s="23"/>
      <c r="C25" s="34">
        <v>16</v>
      </c>
      <c r="D25" s="25" t="s">
        <v>32</v>
      </c>
      <c r="E25" s="26"/>
      <c r="F25" s="26"/>
      <c r="G25" s="26">
        <f t="shared" si="0"/>
        <v>100</v>
      </c>
      <c r="H25" s="27">
        <f>((4)+(38/60))</f>
        <v>4.6333333333333329</v>
      </c>
      <c r="I25" s="27">
        <f t="shared" si="1"/>
        <v>4.6333333333333331E-2</v>
      </c>
      <c r="J25" s="27">
        <f t="shared" si="2"/>
        <v>2.78</v>
      </c>
      <c r="K25" s="28">
        <f t="shared" si="3"/>
        <v>1.168305033144002E-2</v>
      </c>
      <c r="L25" s="29"/>
      <c r="M25" s="30"/>
    </row>
    <row r="26" spans="2:13" ht="33" customHeight="1" x14ac:dyDescent="0.2">
      <c r="B26" s="44"/>
      <c r="C26" s="34">
        <v>17</v>
      </c>
      <c r="D26" s="25" t="s">
        <v>33</v>
      </c>
      <c r="E26" s="26"/>
      <c r="F26" s="26"/>
      <c r="G26" s="26">
        <f t="shared" si="0"/>
        <v>100</v>
      </c>
      <c r="H26" s="27">
        <v>0</v>
      </c>
      <c r="I26" s="27">
        <f t="shared" si="1"/>
        <v>0</v>
      </c>
      <c r="J26" s="27">
        <f t="shared" si="2"/>
        <v>0</v>
      </c>
      <c r="K26" s="28">
        <f t="shared" si="3"/>
        <v>0</v>
      </c>
      <c r="L26" s="29"/>
      <c r="M26" s="30"/>
    </row>
    <row r="27" spans="2:13" x14ac:dyDescent="0.2">
      <c r="B27" s="45"/>
      <c r="C27" s="46"/>
      <c r="D27" s="47"/>
      <c r="E27" s="47"/>
      <c r="F27" s="47"/>
      <c r="G27" s="47"/>
      <c r="H27" s="47"/>
      <c r="I27" s="47"/>
      <c r="J27" s="47"/>
      <c r="K27" s="47"/>
      <c r="L27" s="45"/>
      <c r="M27" s="48"/>
    </row>
    <row r="28" spans="2:13" x14ac:dyDescent="0.2">
      <c r="B28" s="45"/>
      <c r="C28" s="46"/>
      <c r="D28" s="47"/>
      <c r="E28" s="47"/>
      <c r="F28" s="47"/>
      <c r="G28" s="47"/>
      <c r="H28" s="47"/>
      <c r="I28" s="47"/>
      <c r="J28" s="47"/>
      <c r="K28" s="47"/>
      <c r="L28" s="45"/>
      <c r="M28" s="48"/>
    </row>
    <row r="29" spans="2:13" x14ac:dyDescent="0.2">
      <c r="B29" s="49"/>
      <c r="C29" s="50"/>
      <c r="D29" s="51"/>
      <c r="E29" s="51"/>
      <c r="F29" s="51"/>
      <c r="G29" s="51"/>
      <c r="H29" s="51"/>
      <c r="I29" s="51"/>
      <c r="J29" s="51"/>
      <c r="K29" s="51"/>
      <c r="L29" s="49"/>
      <c r="M29" s="52"/>
    </row>
  </sheetData>
  <mergeCells count="1">
    <mergeCell ref="L9:M9"/>
  </mergeCells>
  <conditionalFormatting sqref="K10:K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Marion</dc:creator>
  <cp:lastModifiedBy>Andrea Marion</cp:lastModifiedBy>
  <dcterms:created xsi:type="dcterms:W3CDTF">2026-08-07T14:54:37Z</dcterms:created>
  <dcterms:modified xsi:type="dcterms:W3CDTF">2026-08-07T14:55:34Z</dcterms:modified>
</cp:coreProperties>
</file>